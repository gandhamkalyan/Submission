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-105" yWindow="-105" windowWidth="20730" windowHeight="11760" tabRatio="849" activeTab="4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20" l="1"/>
  <c r="E25" i="20"/>
  <c r="E26" i="20"/>
  <c r="E27" i="20"/>
  <c r="E28" i="20"/>
  <c r="E29" i="20"/>
  <c r="E30" i="20"/>
  <c r="E31" i="20"/>
  <c r="E32" i="20"/>
  <c r="E33" i="20"/>
  <c r="E34" i="20"/>
  <c r="E35" i="20"/>
  <c r="E23" i="20"/>
  <c r="C24" i="20"/>
  <c r="D24" i="20"/>
  <c r="C25" i="20"/>
  <c r="D25" i="20"/>
  <c r="C26" i="20"/>
  <c r="D26" i="20"/>
  <c r="C27" i="20"/>
  <c r="D27" i="20"/>
  <c r="C28" i="20"/>
  <c r="D28" i="20"/>
  <c r="C29" i="20"/>
  <c r="D29" i="20"/>
  <c r="C30" i="20"/>
  <c r="D30" i="20"/>
  <c r="C31" i="20"/>
  <c r="D31" i="20"/>
  <c r="C32" i="20"/>
  <c r="D32" i="20"/>
  <c r="C33" i="20"/>
  <c r="D33" i="20"/>
  <c r="C34" i="20"/>
  <c r="D34" i="20"/>
  <c r="C35" i="20"/>
  <c r="D35" i="20"/>
  <c r="D23" i="20"/>
  <c r="C23" i="20"/>
  <c r="C22" i="19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B6" i="18"/>
  <c r="I44" i="1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<sst xmlns="http://schemas.openxmlformats.org/spreadsheetml/2006/main" count="411" uniqueCount="188">
  <si>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</si>
  <si>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</si>
  <si>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</si>
  <si>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</si>
  <si>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</si>
  <si>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</si>
  <si>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</si>
  <si>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</si>
  <si>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</si>
  <si>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</si>
  <si>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</si>
  <si>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</si>
  <si>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</si>
  <si>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</si>
  <si>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</si>
  <si>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</si>
  <si>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</si>
  <si>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</si>
  <si>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</si>
  <si>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</si>
  <si>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</si>
  <si>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</si>
  <si>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</si>
  <si>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</si>
  <si>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</si>
  <si>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</si>
  <si>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</si>
  <si>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</si>
  <si>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</si>
  <si>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</si>
  <si>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</si>
  <si>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</si>
  <si>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</si>
  <si>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</si>
  <si>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</si>
  <si>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</si>
  <si>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</si>
  <si>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</si>
  <si>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</si>
  <si>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</si>
  <si>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</si>
  <si>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</si>
  <si>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</si>
  <si>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</si>
  <si>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</si>
  <si>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</si>
  <si>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</si>
  <si>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</si>
  <si>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</si>
  <si>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</si>
  <si>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</si>
  <si>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</si>
  <si>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</si>
  <si>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</si>
  <si>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</si>
  <si>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</si>
  <si>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</si>
  <si>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</si>
  <si>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</si>
  <si>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</si>
  <si>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</si>
  <si>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</si>
  <si>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</si>
  <si>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</si>
  <si>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</si>
  <si>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</si>
  <si>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</si>
  <si>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</si>
  <si>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</si>
  <si>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</si>
  <si>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</si>
  <si>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</si>
  <si>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</si>
  <si>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</si>
  <si>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</si>
  <si>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</si>
  <si>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</si>
  <si>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</si>
  <si>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</si>
  <si>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</si>
  <si>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</si>
  <si>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</si>
  <si>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</si>
  <si>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</si>
  <si>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</si>
  <si>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</si>
  <si>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</si>
  <si>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</si>
  <si>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</si>
  <si>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</si>
  <si>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</si>
  <si>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</si>
  <si>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</si>
  <si>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</si>
  <si>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</si>
  <si>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</si>
  <si>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</si>
  <si>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</si>
  <si>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</si>
  <si>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</si>
  <si>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</si>
  <si>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</si>
  <si>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</si>
  <si>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</si>
  <si>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</si>
  <si>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</si>
  <si>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</si>
  <si>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</si>
  <si>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</si>
  <si>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</si>
  <si>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</si>
  <si>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</si>
  <si>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</si>
  <si>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</si>
  <si>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</si>
  <si>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</si>
  <si>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</si>
  <si>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</si>
  <si>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</si>
  <si>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</si>
  <si>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</si>
  <si>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</si>
  <si>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</si>
  <si>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</si>
  <si>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</si>
  <si>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</si>
  <si>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</si>
  <si>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</si>
  <si>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</si>
  <si>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</si>
  <si>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</si>
  <si>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</si>
  <si>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</si>
  <si>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</si>
  <si>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</si>
  <si>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</si>
  <si>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</si>
  <si>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</si>
  <si>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</si>
  <si>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</si>
  <si>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</si>
  <si>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</si>
  <si>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</si>
  <si>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</si>
  <si>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</si>
  <si>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</si>
  <si>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</si>
  <si>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</si>
  <si>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</si>
  <si>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</si>
  <si>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</si>
  <si>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</si>
  <si>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</si>
  <si>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</si>
  <si>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</si>
  <si>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</si>
  <si>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</si>
  <si>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</si>
  <si>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</si>
  <si>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</si>
  <si>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</si>
  <si>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</si>
  <si>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</si>
  <si>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</si>
  <si>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</si>
  <si>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</si>
  <si>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</si>
  <si>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</si>
  <si>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</si>
  <si>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</si>
  <si>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</si>
  <si>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</si>
  <si>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</si>
  <si>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</si>
  <si>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</si>
  <si>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</si>
  <si>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</si>
  <si>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=SUMIF(H2:H40,"&gt;20",H2:H40)</t>
  </si>
  <si>
    <r>
      <t xml:space="preserve">1. </t>
    </r>
    <r>
      <rPr>
        <sz val="9"/>
        <color rgb="FFFF0000"/>
        <rFont val="Calibri"/>
        <family val="2"/>
        <scheme val="minor"/>
      </rPr>
      <t xml:space="preserve">go to "Data" </t>
    </r>
    <r>
      <rPr>
        <sz val="9"/>
        <color rgb="FF000000"/>
        <rFont val="Calibri"/>
        <family val="2"/>
        <scheme val="minor"/>
      </rPr>
      <t xml:space="preserve">     2. </t>
    </r>
    <r>
      <rPr>
        <sz val="9"/>
        <color rgb="FFFF0000"/>
        <rFont val="Calibri"/>
        <family val="2"/>
        <scheme val="minor"/>
      </rPr>
      <t>Then select "Text to Columns"</t>
    </r>
    <r>
      <rPr>
        <sz val="9"/>
        <color rgb="FF000000"/>
        <rFont val="Calibri"/>
        <family val="2"/>
        <scheme val="minor"/>
      </rPr>
      <t xml:space="preserve">   3.</t>
    </r>
    <r>
      <rPr>
        <sz val="9"/>
        <color rgb="FFFF0000"/>
        <rFont val="Calibri"/>
        <family val="2"/>
        <scheme val="minor"/>
      </rPr>
      <t>Then Select "Delimited"</t>
    </r>
    <r>
      <rPr>
        <sz val="9"/>
        <color rgb="FF000000"/>
        <rFont val="Calibri"/>
        <family val="2"/>
        <scheme val="minor"/>
      </rPr>
      <t xml:space="preserve">  4.</t>
    </r>
    <r>
      <rPr>
        <sz val="9"/>
        <color rgb="FFFF0000"/>
        <rFont val="Calibri"/>
        <family val="2"/>
        <scheme val="minor"/>
      </rPr>
      <t>Then select "other" and enter"-" in the input area</t>
    </r>
    <r>
      <rPr>
        <sz val="9"/>
        <color rgb="FF000000"/>
        <rFont val="Calibri"/>
        <family val="2"/>
        <scheme val="minor"/>
      </rPr>
      <t xml:space="preserve">   5.</t>
    </r>
    <r>
      <rPr>
        <sz val="9"/>
        <color rgb="FFFF0000"/>
        <rFont val="Calibri"/>
        <family val="2"/>
        <scheme val="minor"/>
      </rPr>
      <t>Then click on "next"</t>
    </r>
    <r>
      <rPr>
        <sz val="9"/>
        <color rgb="FF000000"/>
        <rFont val="Calibri"/>
        <family val="2"/>
        <scheme val="minor"/>
      </rPr>
      <t xml:space="preserve">    6.</t>
    </r>
    <r>
      <rPr>
        <sz val="9"/>
        <color rgb="FFFF0000"/>
        <rFont val="Calibri"/>
        <family val="2"/>
        <scheme val="minor"/>
      </rPr>
      <t>Then click on "finish"</t>
    </r>
  </si>
  <si>
    <t xml:space="preserve">ctrl+h </t>
  </si>
  <si>
    <t>sum</t>
  </si>
  <si>
    <t>replaced all #N/A values with 20 by using  ctrl+h (replace) then used sum formula</t>
  </si>
  <si>
    <t>row</t>
  </si>
  <si>
    <t>col</t>
  </si>
  <si>
    <t>=INDEX(B10:J18, MATCH(F23,A10:A18),MATCH(G23,B9:J9))</t>
  </si>
  <si>
    <t xml:space="preserve">=INDEX(table, MATCH(row name,all row names),MATCH(colum name,all column names))    and  vlookup </t>
  </si>
  <si>
    <t>using vlookup I have got the row names for name_1 and column names for name_2.   then usimg the above index formula  pulled out the vakue</t>
  </si>
  <si>
    <t>text to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</si>
</sst>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0" borderId="0" xfId="0" applyNumberFormat="1" applyFont="1"/>
    <xf numFmtId="49" fontId="3" fillId="0" borderId="0" xfId="0" applyNumberFormat="1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7" xfId="0" applyNumberFormat="1" applyFont="1" applyBorder="1"/>
    <xf numFmtId="0" fontId="18" fillId="0" borderId="0" xfId="0" applyFont="1"/>
    <xf numFmtId="0" fontId="8" fillId="0" borderId="0" xfId="0" applyFont="1" applyBorder="1"/>
    <xf numFmtId="49" fontId="8" fillId="0" borderId="0" xfId="0" applyNumberFormat="1" applyFont="1"/>
    <xf numFmtId="0" fontId="17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6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3" t="s">
        <v>171</v>
      </c>
      <c r="B9" s="24" t="s">
        <v>169</v>
      </c>
    </row>
    <row r="10" spans="1:3" x14ac:dyDescent="0.2">
      <c r="A10" s="32" t="s">
        <v>172</v>
      </c>
      <c r="B10" s="34">
        <v>25</v>
      </c>
    </row>
    <row r="11" spans="1:3" x14ac:dyDescent="0.2">
      <c r="A11" s="32" t="s">
        <v>55</v>
      </c>
      <c r="B11" s="34">
        <v>30</v>
      </c>
    </row>
    <row r="12" spans="1:3" x14ac:dyDescent="0.2">
      <c r="A12" s="32" t="s">
        <v>56</v>
      </c>
      <c r="B12" s="34">
        <v>10</v>
      </c>
    </row>
    <row r="13" spans="1:3" x14ac:dyDescent="0.2">
      <c r="A13" s="32" t="s">
        <v>85</v>
      </c>
      <c r="B13" s="34">
        <v>20</v>
      </c>
    </row>
    <row r="14" spans="1:3" x14ac:dyDescent="0.2">
      <c r="A14" s="32" t="s">
        <v>98</v>
      </c>
      <c r="B14" s="34">
        <v>40</v>
      </c>
    </row>
    <row r="15" spans="1:3" x14ac:dyDescent="0.2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4"/>
  <sheetViews>
    <sheetView topLeftCell="N1" zoomScaleNormal="100" workbookViewId="0">
      <pane ySplit="1" topLeftCell="A19" activePane="bottomLeft" state="frozen"/>
      <selection activeCell="D1" sqref="D1"/>
      <selection pane="bottomLeft" activeCell="S37" sqref="S37"/>
    </sheetView>
  </sheetViews>
  <sheetFormatPr defaultColWidth="9" defaultRowHeight="15" x14ac:dyDescent="0.25"/>
  <cols>
    <col min="1" max="1" width="25.5" style="1" bestFit="1" customWidth="1"/>
    <col min="2" max="2" width="7.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5" style="1" bestFit="1" customWidth="1"/>
    <col min="19" max="20" width="18.83203125" style="1" bestFit="1" customWidth="1"/>
    <col min="21" max="23" width="19" style="1" bestFit="1" customWidth="1"/>
    <col min="24" max="24" width="12.5" style="45" bestFit="1" customWidth="1"/>
    <col min="25" max="16384" width="9" style="1"/>
  </cols>
  <sheetData>
    <row r="1" spans="1:24" s="3" customFormat="1" ht="14.6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25">
      <c r="I42" s="42"/>
    </row>
    <row r="44" spans="1:24" x14ac:dyDescent="0.25">
      <c r="I44" s="42">
        <f>SUMIF(H2:H40,"&gt;20",H2:H40)</f>
        <v>1473.0000000000002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G1:W1048576">
    <cfRule type="cellIs" dxfId="2" priority="2" operator="equal">
      <formula>-1</formula>
    </cfRule>
  </conditionalFormatting>
  <conditionalFormatting sqref="G2:W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21" sqref="B21"/>
    </sheetView>
  </sheetViews>
  <sheetFormatPr defaultColWidth="11" defaultRowHeight="15" x14ac:dyDescent="0.25"/>
  <cols>
    <col min="1" max="1" width="8.5" style="1" bestFit="1" customWidth="1"/>
    <col min="2" max="2" width="65.83203125" style="1" bestFit="1" customWidth="1"/>
    <col min="3" max="3" width="27.5" style="1" bestFit="1" customWidth="1"/>
    <col min="4" max="4" width="11" style="1"/>
    <col min="5" max="5" width="14.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conditionalFormatting sqref="C5">
    <cfRule type="cellIs" dxfId="0" priority="1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8" zoomScaleNormal="100" workbookViewId="0">
      <selection activeCell="D21" sqref="D21"/>
    </sheetView>
  </sheetViews>
  <sheetFormatPr defaultColWidth="11" defaultRowHeight="12.75" x14ac:dyDescent="0.2"/>
  <cols>
    <col min="1" max="1" width="18.5" style="2" bestFit="1" customWidth="1"/>
    <col min="2" max="6" width="15.5" style="2" customWidth="1"/>
    <col min="7" max="7" width="11" style="2"/>
    <col min="8" max="8" width="14.5" style="2" bestFit="1" customWidth="1"/>
    <col min="9" max="16384" width="11" style="2"/>
  </cols>
  <sheetData>
    <row r="1" spans="1:7" s="38" customFormat="1" ht="21" x14ac:dyDescent="0.35">
      <c r="A1" s="39" t="s">
        <v>55</v>
      </c>
      <c r="B1" s="38" t="s">
        <v>164</v>
      </c>
    </row>
    <row r="2" spans="1:7" s="38" customFormat="1" ht="21" x14ac:dyDescent="0.35">
      <c r="B2" s="38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46">
        <f>VLOOKUP(A6,Dataset!A:X,7,0)</f>
        <v>2.7</v>
      </c>
      <c r="C6" s="46">
        <f>VLOOKUP(A6,Dataset!A:X,14,0)</f>
        <v>7.6</v>
      </c>
      <c r="D6" s="46">
        <f>VLOOKUP(A6,Dataset!A:X,18,0)</f>
        <v>4.2</v>
      </c>
      <c r="E6" s="46">
        <f>VLOOKUP(A6,Dataset!A:X,20,0)</f>
        <v>8.9</v>
      </c>
      <c r="F6" s="46">
        <f>VLOOKUP(A6,Dataset!A:X,22,0)</f>
        <v>4.2</v>
      </c>
    </row>
    <row r="7" spans="1:7" ht="15" x14ac:dyDescent="0.25">
      <c r="A7" s="7" t="s">
        <v>4</v>
      </c>
      <c r="B7" s="46">
        <f>VLOOKUP(A7,Dataset!A:X,7,0)</f>
        <v>2.7</v>
      </c>
      <c r="C7" s="46">
        <f>VLOOKUP(A7,Dataset!A:X,14,0)</f>
        <v>7.6</v>
      </c>
      <c r="D7" s="46">
        <f>VLOOKUP(A7,Dataset!A:X,18,0)</f>
        <v>4.2</v>
      </c>
      <c r="E7" s="46">
        <f>VLOOKUP(A7,Dataset!A:X,20,0)</f>
        <v>8.9</v>
      </c>
      <c r="F7" s="46">
        <f>VLOOKUP(A7,Dataset!A:X,22,0)</f>
        <v>4.2</v>
      </c>
    </row>
    <row r="8" spans="1:7" ht="15" x14ac:dyDescent="0.25">
      <c r="A8" s="7" t="s">
        <v>7</v>
      </c>
      <c r="B8" s="46">
        <f>VLOOKUP(A8,Dataset!A:X,7,0)</f>
        <v>3.6</v>
      </c>
      <c r="C8" s="46">
        <f>VLOOKUP(A8,Dataset!A:X,14,0)</f>
        <v>11.1</v>
      </c>
      <c r="D8" s="46">
        <f>VLOOKUP(A8,Dataset!A:X,18,0)</f>
        <v>5.8</v>
      </c>
      <c r="E8" s="46">
        <f>VLOOKUP(A8,Dataset!A:X,20,0)</f>
        <v>12.2</v>
      </c>
      <c r="F8" s="46">
        <f>VLOOKUP(A8,Dataset!A:X,22,0)</f>
        <v>5.8</v>
      </c>
    </row>
    <row r="9" spans="1:7" ht="15" x14ac:dyDescent="0.25">
      <c r="A9" s="7" t="s">
        <v>8</v>
      </c>
      <c r="B9" s="46">
        <f>VLOOKUP(A9,Dataset!A:X,7,0)</f>
        <v>4.9000000000000004</v>
      </c>
      <c r="C9" s="46">
        <f>VLOOKUP(A9,Dataset!A:X,14,0)</f>
        <v>13.3</v>
      </c>
      <c r="D9" s="46">
        <f>VLOOKUP(A9,Dataset!A:X,18,0)</f>
        <v>8.1</v>
      </c>
      <c r="E9" s="46">
        <f>VLOOKUP(A9,Dataset!A:X,20,0)</f>
        <v>17</v>
      </c>
      <c r="F9" s="46">
        <f>VLOOKUP(A9,Dataset!A:X,22,0)</f>
        <v>8.1</v>
      </c>
    </row>
    <row r="10" spans="1:7" ht="15" x14ac:dyDescent="0.25">
      <c r="A10" s="7" t="s">
        <v>11</v>
      </c>
      <c r="B10" s="46">
        <f>VLOOKUP(A10,Dataset!A:X,7,0)</f>
        <v>9.4</v>
      </c>
      <c r="C10" s="46">
        <f>VLOOKUP(A10,Dataset!A:X,14,0)</f>
        <v>28.3</v>
      </c>
      <c r="D10" s="46">
        <f>VLOOKUP(A10,Dataset!A:X,18,0)</f>
        <v>16.100000000000001</v>
      </c>
      <c r="E10" s="46">
        <f>VLOOKUP(A10,Dataset!A:X,20,0)</f>
        <v>32.799999999999997</v>
      </c>
      <c r="F10" s="46">
        <f>VLOOKUP(A10,Dataset!A:X,22,0)</f>
        <v>16.100000000000001</v>
      </c>
    </row>
    <row r="11" spans="1:7" ht="15" x14ac:dyDescent="0.25">
      <c r="A11" s="7" t="s">
        <v>12</v>
      </c>
      <c r="B11" s="46">
        <f>VLOOKUP(A11,Dataset!A:X,7,0)</f>
        <v>11.6</v>
      </c>
      <c r="C11" s="46">
        <f>VLOOKUP(A11,Dataset!A:X,14,0)</f>
        <v>35.200000000000003</v>
      </c>
      <c r="D11" s="46">
        <f>VLOOKUP(A11,Dataset!A:X,18,0)</f>
        <v>21.3</v>
      </c>
      <c r="E11" s="46">
        <f>VLOOKUP(A11,Dataset!A:X,20,0)</f>
        <v>43</v>
      </c>
      <c r="F11" s="46">
        <f>VLOOKUP(A11,Dataset!A:X,22,0)</f>
        <v>21.3</v>
      </c>
    </row>
    <row r="12" spans="1:7" ht="15" x14ac:dyDescent="0.25">
      <c r="A12" s="7" t="s">
        <v>14</v>
      </c>
      <c r="B12" s="46">
        <f>VLOOKUP(A12,Dataset!A:X,7,0)</f>
        <v>18.399999999999999</v>
      </c>
      <c r="C12" s="46">
        <f>VLOOKUP(A12,Dataset!A:X,14,0)</f>
        <v>55.6</v>
      </c>
      <c r="D12" s="46">
        <f>VLOOKUP(A12,Dataset!A:X,18,0)</f>
        <v>33.799999999999997</v>
      </c>
      <c r="E12" s="46">
        <f>VLOOKUP(A12,Dataset!A:X,20,0)</f>
        <v>67.900000000000006</v>
      </c>
      <c r="F12" s="46">
        <f>VLOOKUP(A12,Dataset!A:X,22,0)</f>
        <v>33.799999999999997</v>
      </c>
    </row>
    <row r="13" spans="1:7" ht="15" x14ac:dyDescent="0.25">
      <c r="A13" s="7" t="s">
        <v>15</v>
      </c>
      <c r="B13" s="46">
        <f>VLOOKUP(A13,Dataset!A:X,7,0)</f>
        <v>0</v>
      </c>
      <c r="C13" s="46">
        <f>VLOOKUP(A13,Dataset!A:X,14,0)</f>
        <v>0</v>
      </c>
      <c r="D13" s="46">
        <f>VLOOKUP(A13,Dataset!A:X,18,0)</f>
        <v>0</v>
      </c>
      <c r="E13" s="46">
        <f>VLOOKUP(A13,Dataset!A:X,20,0)</f>
        <v>0</v>
      </c>
      <c r="F13" s="46">
        <f>VLOOKUP(A13,Dataset!A:X,22,0)</f>
        <v>0</v>
      </c>
    </row>
    <row r="14" spans="1:7" ht="15" x14ac:dyDescent="0.25">
      <c r="A14" s="7" t="s">
        <v>16</v>
      </c>
      <c r="B14" s="46">
        <f>VLOOKUP(A14,Dataset!A:X,7,0)</f>
        <v>21.9</v>
      </c>
      <c r="C14" s="46">
        <f>VLOOKUP(A14,Dataset!A:X,14,0)</f>
        <v>61.5</v>
      </c>
      <c r="D14" s="46">
        <f>VLOOKUP(A14,Dataset!A:X,18,0)</f>
        <v>40.1</v>
      </c>
      <c r="E14" s="46">
        <f>VLOOKUP(A14,Dataset!A:X,20,0)</f>
        <v>76.599999999999994</v>
      </c>
      <c r="F14" s="46">
        <f>VLOOKUP(A14,Dataset!A:X,22,0)</f>
        <v>40.1</v>
      </c>
    </row>
    <row r="15" spans="1:7" ht="15" x14ac:dyDescent="0.25">
      <c r="A15" s="7" t="s">
        <v>18</v>
      </c>
      <c r="B15" s="46">
        <f>VLOOKUP(A15,Dataset!A:X,7,0)</f>
        <v>26.8</v>
      </c>
      <c r="C15" s="46">
        <f>VLOOKUP(A15,Dataset!A:X,14,0)</f>
        <v>79.599999999999994</v>
      </c>
      <c r="D15" s="46">
        <f>VLOOKUP(A15,Dataset!A:X,18,0)</f>
        <v>47.9</v>
      </c>
      <c r="E15" s="46">
        <f>VLOOKUP(A15,Dataset!A:X,20,0)</f>
        <v>96.8</v>
      </c>
      <c r="F15" s="46">
        <f>VLOOKUP(A15,Dataset!A:X,22,0)</f>
        <v>47.9</v>
      </c>
    </row>
    <row r="16" spans="1:7" ht="15" x14ac:dyDescent="0.25">
      <c r="A16" s="7" t="s">
        <v>20</v>
      </c>
      <c r="B16" s="46">
        <f>VLOOKUP(A16,Dataset!A:X,7,0)</f>
        <v>28.5</v>
      </c>
      <c r="C16" s="46">
        <f>VLOOKUP(A16,Dataset!A:X,14,0)</f>
        <v>85.4</v>
      </c>
      <c r="D16" s="46">
        <f>VLOOKUP(A16,Dataset!A:X,18,0)</f>
        <v>52.3</v>
      </c>
      <c r="E16" s="46">
        <f>VLOOKUP(A16,Dataset!A:X,20,0)</f>
        <v>106.1</v>
      </c>
      <c r="F16" s="46">
        <f>VLOOKUP(A16,Dataset!A:X,22,0)</f>
        <v>52.3</v>
      </c>
    </row>
    <row r="17" spans="1:6" ht="15" x14ac:dyDescent="0.25">
      <c r="A17" s="7" t="s">
        <v>22</v>
      </c>
      <c r="B17" s="46">
        <f>VLOOKUP(A17,Dataset!A:X,7,0)</f>
        <v>30.7</v>
      </c>
      <c r="C17" s="46">
        <f>VLOOKUP(A17,Dataset!A:X,14,0)</f>
        <v>92.1</v>
      </c>
      <c r="D17" s="46">
        <f>VLOOKUP(A17,Dataset!A:X,18,0)</f>
        <v>57</v>
      </c>
      <c r="E17" s="46">
        <f>VLOOKUP(A17,Dataset!A:X,20,0)</f>
        <v>115.1</v>
      </c>
      <c r="F17" s="46">
        <f>VLOOKUP(A17,Dataset!A:X,22,0)</f>
        <v>57</v>
      </c>
    </row>
    <row r="18" spans="1:6" ht="15" x14ac:dyDescent="0.25">
      <c r="A18" s="7" t="s">
        <v>23</v>
      </c>
      <c r="B18" s="46">
        <f>VLOOKUP(A18,Dataset!A:X,7,0)</f>
        <v>33.799999999999997</v>
      </c>
      <c r="C18" s="46">
        <f>VLOOKUP(A18,Dataset!A:X,14,0)</f>
        <v>101.3</v>
      </c>
      <c r="D18" s="46">
        <f>VLOOKUP(A18,Dataset!A:X,18,0)</f>
        <v>61.4</v>
      </c>
      <c r="E18" s="46">
        <f>VLOOKUP(A18,Dataset!A:X,20,0)</f>
        <v>124.4</v>
      </c>
      <c r="F18" s="46">
        <f>VLOOKUP(A18,Dataset!A:X,22,0)</f>
        <v>61.4</v>
      </c>
    </row>
    <row r="19" spans="1:6" ht="15" x14ac:dyDescent="0.25">
      <c r="A19" s="7" t="s">
        <v>24</v>
      </c>
      <c r="B19" s="46">
        <f>VLOOKUP(A19,Dataset!A:X,7,0)</f>
        <v>34.700000000000003</v>
      </c>
      <c r="C19" s="46">
        <f>VLOOKUP(A19,Dataset!A:X,14,0)</f>
        <v>106.1</v>
      </c>
      <c r="D19" s="46">
        <f>VLOOKUP(A19,Dataset!A:X,18,0)</f>
        <v>63.6</v>
      </c>
      <c r="E19" s="46">
        <f>VLOOKUP(A19,Dataset!A:X,20,0)</f>
        <v>128.6</v>
      </c>
      <c r="F19" s="46">
        <f>VLOOKUP(A19,Dataset!A:X,22,0)</f>
        <v>63.6</v>
      </c>
    </row>
    <row r="20" spans="1:6" ht="15" x14ac:dyDescent="0.25">
      <c r="A20" s="7" t="s">
        <v>28</v>
      </c>
      <c r="B20" s="46">
        <f>VLOOKUP(A20,Dataset!A:X,7,0)</f>
        <v>0</v>
      </c>
      <c r="C20" s="46">
        <f>VLOOKUP(A20,Dataset!A:X,14,0)</f>
        <v>0</v>
      </c>
      <c r="D20" s="46">
        <f>VLOOKUP(A20,Dataset!A:X,18,0)</f>
        <v>0</v>
      </c>
      <c r="E20" s="46">
        <f>VLOOKUP(A20,Dataset!A:X,20,0)</f>
        <v>0</v>
      </c>
      <c r="F20" s="46">
        <f>VLOOKUP(A20,Dataset!A:X,22,0)</f>
        <v>0</v>
      </c>
    </row>
    <row r="21" spans="1:6" ht="15" x14ac:dyDescent="0.25">
      <c r="A21" s="7" t="s">
        <v>57</v>
      </c>
      <c r="B21" s="46">
        <f>VLOOKUP(A21,Dataset!A:X,7,0)</f>
        <v>41.3</v>
      </c>
      <c r="C21" s="46">
        <f>VLOOKUP(A21,Dataset!A:X,14,0)</f>
        <v>124.4</v>
      </c>
      <c r="D21" s="46">
        <f>VLOOKUP(A21,Dataset!A:X,18,0)</f>
        <v>75</v>
      </c>
      <c r="E21" s="46">
        <f>VLOOKUP(A21,Dataset!A:X,20,0)</f>
        <v>151.5</v>
      </c>
      <c r="F21" s="46">
        <f>VLOOKUP(A21,Dataset!A:X,22,0)</f>
        <v>75</v>
      </c>
    </row>
    <row r="22" spans="1:6" ht="15" x14ac:dyDescent="0.25">
      <c r="A22" s="7" t="s">
        <v>58</v>
      </c>
      <c r="B22" s="46">
        <f>VLOOKUP(A22,Dataset!A:X,7,0)</f>
        <v>-1</v>
      </c>
      <c r="C22" s="46">
        <f>VLOOKUP(A22,Dataset!A:X,14,0)</f>
        <v>-1</v>
      </c>
      <c r="D22" s="46">
        <f>VLOOKUP(A22,Dataset!A:X,18,0)</f>
        <v>-1</v>
      </c>
      <c r="E22" s="46">
        <f>VLOOKUP(A22,Dataset!A:X,20,0)</f>
        <v>-1</v>
      </c>
      <c r="F22" s="46">
        <f>VLOOKUP(A22,Dataset!A:X,22,0)</f>
        <v>-1</v>
      </c>
    </row>
    <row r="23" spans="1:6" ht="15" x14ac:dyDescent="0.25">
      <c r="A23" s="7" t="s">
        <v>31</v>
      </c>
      <c r="B23" s="46">
        <f>VLOOKUP(A23,Dataset!A:X,7,0)</f>
        <v>45</v>
      </c>
      <c r="C23" s="46">
        <f>VLOOKUP(A23,Dataset!A:X,14,0)</f>
        <v>133.4</v>
      </c>
      <c r="D23" s="46">
        <f>VLOOKUP(A23,Dataset!A:X,18,0)</f>
        <v>79.400000000000006</v>
      </c>
      <c r="E23" s="46">
        <f>VLOOKUP(A23,Dataset!A:X,20,0)</f>
        <v>160.9</v>
      </c>
      <c r="F23" s="46">
        <f>VLOOKUP(A23,Dataset!A:X,22,0)</f>
        <v>79.400000000000006</v>
      </c>
    </row>
    <row r="24" spans="1:6" ht="15" x14ac:dyDescent="0.25">
      <c r="A24" s="7" t="s">
        <v>32</v>
      </c>
      <c r="B24" s="46">
        <f>VLOOKUP(A24,Dataset!A:X,7,0)</f>
        <v>-1</v>
      </c>
      <c r="C24" s="46">
        <f>VLOOKUP(A24,Dataset!A:X,14,0)</f>
        <v>-1</v>
      </c>
      <c r="D24" s="46">
        <f>VLOOKUP(A24,Dataset!A:X,18,0)</f>
        <v>-1</v>
      </c>
      <c r="E24" s="46">
        <f>VLOOKUP(A24,Dataset!A:X,20,0)</f>
        <v>-1</v>
      </c>
      <c r="F24" s="46">
        <f>VLOOKUP(A24,Dataset!A:X,22,0)</f>
        <v>-1</v>
      </c>
    </row>
    <row r="25" spans="1:6" ht="15" x14ac:dyDescent="0.25">
      <c r="A25" s="7" t="s">
        <v>34</v>
      </c>
      <c r="B25" s="46">
        <f>VLOOKUP(A25,Dataset!A:X,7,0)</f>
        <v>43.3</v>
      </c>
      <c r="C25" s="46">
        <f>VLOOKUP(A25,Dataset!A:X,14,0)</f>
        <v>128.6</v>
      </c>
      <c r="D25" s="46">
        <f>VLOOKUP(A25,Dataset!A:X,18,0)</f>
        <v>79.400000000000006</v>
      </c>
      <c r="E25" s="46">
        <f>VLOOKUP(A25,Dataset!A:X,20,0)</f>
        <v>160.9</v>
      </c>
      <c r="F25" s="46">
        <f>VLOOKUP(A25,Dataset!A:X,22,0)</f>
        <v>79.400000000000006</v>
      </c>
    </row>
    <row r="26" spans="1:6" ht="15" x14ac:dyDescent="0.25">
      <c r="A26" s="7" t="s">
        <v>37</v>
      </c>
      <c r="B26" s="46">
        <f>VLOOKUP(A26,Dataset!A:X,7,0)</f>
        <v>49.1</v>
      </c>
      <c r="C26" s="46">
        <f>VLOOKUP(A26,Dataset!A:X,14,0)</f>
        <v>146.80000000000001</v>
      </c>
      <c r="D26" s="46">
        <f>VLOOKUP(A26,Dataset!A:X,18,0)</f>
        <v>90.9</v>
      </c>
      <c r="E26" s="46">
        <f>VLOOKUP(A26,Dataset!A:X,20,0)</f>
        <v>183.5</v>
      </c>
      <c r="F26" s="46">
        <f>VLOOKUP(A26,Dataset!A:X,22,0)</f>
        <v>90.9</v>
      </c>
    </row>
    <row r="27" spans="1:6" ht="15" x14ac:dyDescent="0.25">
      <c r="A27" s="7" t="s">
        <v>39</v>
      </c>
      <c r="B27" s="46">
        <f>VLOOKUP(A27,Dataset!A:X,7,0)</f>
        <v>51.8</v>
      </c>
      <c r="C27" s="46">
        <f>VLOOKUP(A27,Dataset!A:X,14,0)</f>
        <v>156.4</v>
      </c>
      <c r="D27" s="46">
        <f>VLOOKUP(A27,Dataset!A:X,18,0)</f>
        <v>93.1</v>
      </c>
      <c r="E27" s="46">
        <f>VLOOKUP(A27,Dataset!A:X,20,0)</f>
        <v>188.1</v>
      </c>
      <c r="F27" s="46">
        <f>VLOOKUP(A27,Dataset!A:X,22,0)</f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>MAX(C6:C27)</f>
        <v>156.4</v>
      </c>
      <c r="D29" s="29">
        <f>MAX(D6:D27)</f>
        <v>93.1</v>
      </c>
      <c r="E29" s="29">
        <f>MAX(E6:E27)</f>
        <v>188.1</v>
      </c>
      <c r="F29" s="29">
        <f>MAX(F6:F27)</f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abSelected="1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8" customFormat="1" ht="21" x14ac:dyDescent="0.35">
      <c r="A1" s="39" t="s">
        <v>56</v>
      </c>
      <c r="B1" s="38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0" t="s">
        <v>53</v>
      </c>
      <c r="B5" s="37" t="s">
        <v>187</v>
      </c>
    </row>
    <row r="6" spans="1:10" ht="18.75" x14ac:dyDescent="0.3">
      <c r="A6" s="40" t="s">
        <v>153</v>
      </c>
      <c r="B6" s="47" t="s">
        <v>178</v>
      </c>
    </row>
    <row r="7" spans="1:10" ht="18.75" x14ac:dyDescent="0.3">
      <c r="A7" s="40"/>
      <c r="B7" s="37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25">
      <c r="A16" s="7" t="s">
        <v>121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5" style="2" bestFit="1" customWidth="1"/>
    <col min="7" max="8" width="14.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64062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3" ht="21" x14ac:dyDescent="0.35">
      <c r="A1" s="39" t="s">
        <v>85</v>
      </c>
      <c r="B1" s="38" t="s">
        <v>167</v>
      </c>
    </row>
    <row r="2" spans="1:3" ht="18.75" x14ac:dyDescent="0.3">
      <c r="B2" s="37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179</v>
      </c>
      <c r="C6" s="2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6" t="s">
        <v>162</v>
      </c>
    </row>
    <row r="11" spans="1:3" ht="15" x14ac:dyDescent="0.25">
      <c r="A11" s="30" t="s">
        <v>86</v>
      </c>
      <c r="B11" s="15" t="s">
        <v>87</v>
      </c>
      <c r="C11" s="15" t="s">
        <v>88</v>
      </c>
    </row>
    <row r="12" spans="1:3" ht="15" x14ac:dyDescent="0.25">
      <c r="A12" s="30">
        <v>44927</v>
      </c>
      <c r="B12" s="15" t="s">
        <v>59</v>
      </c>
      <c r="C12" s="15">
        <v>200</v>
      </c>
    </row>
    <row r="13" spans="1:3" ht="15" x14ac:dyDescent="0.25">
      <c r="A13" s="30">
        <v>44928</v>
      </c>
      <c r="B13" s="15" t="s">
        <v>60</v>
      </c>
      <c r="C13" s="15">
        <v>20</v>
      </c>
    </row>
    <row r="14" spans="1:3" ht="15" x14ac:dyDescent="0.25">
      <c r="A14" s="30">
        <v>44929</v>
      </c>
      <c r="B14" s="15" t="s">
        <v>61</v>
      </c>
      <c r="C14" s="15">
        <v>50</v>
      </c>
    </row>
    <row r="15" spans="1:3" ht="15" x14ac:dyDescent="0.25">
      <c r="A15" s="30">
        <v>44930</v>
      </c>
      <c r="B15" s="15" t="s">
        <v>62</v>
      </c>
      <c r="C15" s="15">
        <v>20</v>
      </c>
    </row>
    <row r="16" spans="1:3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>
        <v>20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>
        <v>20</v>
      </c>
    </row>
    <row r="22" spans="1:3" ht="15" x14ac:dyDescent="0.25">
      <c r="B22" s="15" t="s">
        <v>159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7" sqref="C7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9" t="s">
        <v>98</v>
      </c>
      <c r="B1" s="38" t="s">
        <v>175</v>
      </c>
    </row>
    <row r="3" spans="1:14" ht="15" x14ac:dyDescent="0.25">
      <c r="B3" s="1" t="s">
        <v>151</v>
      </c>
    </row>
    <row r="4" spans="1:14" ht="18.75" x14ac:dyDescent="0.3">
      <c r="A4" s="40" t="s">
        <v>53</v>
      </c>
      <c r="B4" s="43" t="s">
        <v>185</v>
      </c>
    </row>
    <row r="5" spans="1:14" ht="18.75" x14ac:dyDescent="0.3">
      <c r="A5" s="40" t="s">
        <v>153</v>
      </c>
      <c r="B5" s="50" t="s">
        <v>186</v>
      </c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25" x14ac:dyDescent="0.35">
      <c r="A21" s="16" t="s">
        <v>168</v>
      </c>
    </row>
    <row r="22" spans="1:14" ht="15" x14ac:dyDescent="0.25">
      <c r="A22" s="13" t="s">
        <v>100</v>
      </c>
      <c r="B22" s="15" t="s">
        <v>101</v>
      </c>
      <c r="C22" s="23" t="s">
        <v>182</v>
      </c>
      <c r="D22" s="23" t="s">
        <v>183</v>
      </c>
      <c r="E22" s="15" t="s">
        <v>102</v>
      </c>
    </row>
    <row r="23" spans="1:14" ht="15" x14ac:dyDescent="0.25">
      <c r="A23" s="7">
        <v>10100</v>
      </c>
      <c r="B23" s="11">
        <v>10102</v>
      </c>
      <c r="C23" s="34" t="str">
        <f>VLOOKUP(A23,M$10:N$18,2,0)</f>
        <v>A</v>
      </c>
      <c r="D23" s="48" t="str">
        <f>VLOOKUP(B23,M$10:N$18,2,0)</f>
        <v>B</v>
      </c>
      <c r="E23" s="41">
        <f>INDEX(B$10:J$18, MATCH(C23,A$10:A$18),MATCH(D23,B$9:J$9))</f>
        <v>95</v>
      </c>
      <c r="H23" s="49" t="s">
        <v>184</v>
      </c>
    </row>
    <row r="24" spans="1:14" ht="15" x14ac:dyDescent="0.25">
      <c r="A24" s="7">
        <v>10100</v>
      </c>
      <c r="B24" s="11">
        <v>10104</v>
      </c>
      <c r="C24" s="34" t="str">
        <f t="shared" ref="C24:C35" si="0">VLOOKUP(A24,M$10:N$18,2,0)</f>
        <v>A</v>
      </c>
      <c r="D24" s="48" t="str">
        <f t="shared" ref="D24:D35" si="1">VLOOKUP(B24,M$10:N$18,2,0)</f>
        <v>C</v>
      </c>
      <c r="E24" s="41">
        <f t="shared" ref="E24:E35" si="2">INDEX(B$10:J$18, MATCH(C24,A$10:A$18),MATCH(D24,B$9:J$9))</f>
        <v>-1</v>
      </c>
    </row>
    <row r="25" spans="1:14" ht="15" x14ac:dyDescent="0.25">
      <c r="A25" s="7">
        <v>10108</v>
      </c>
      <c r="B25" s="11">
        <v>10102</v>
      </c>
      <c r="C25" s="34" t="str">
        <f t="shared" si="0"/>
        <v>E</v>
      </c>
      <c r="D25" s="48" t="str">
        <f t="shared" si="1"/>
        <v>B</v>
      </c>
      <c r="E25" s="41">
        <f t="shared" si="2"/>
        <v>160</v>
      </c>
    </row>
    <row r="26" spans="1:14" ht="15" x14ac:dyDescent="0.25">
      <c r="A26" s="7">
        <v>10100</v>
      </c>
      <c r="B26" s="11">
        <v>10106</v>
      </c>
      <c r="C26" s="34" t="str">
        <f t="shared" si="0"/>
        <v>A</v>
      </c>
      <c r="D26" s="48" t="str">
        <f t="shared" si="1"/>
        <v>D</v>
      </c>
      <c r="E26" s="41">
        <f t="shared" si="2"/>
        <v>185</v>
      </c>
    </row>
    <row r="27" spans="1:14" ht="15" x14ac:dyDescent="0.25">
      <c r="A27" s="7">
        <v>10108</v>
      </c>
      <c r="B27" s="11">
        <v>10110</v>
      </c>
      <c r="C27" s="34" t="str">
        <f t="shared" si="0"/>
        <v>E</v>
      </c>
      <c r="D27" s="48" t="str">
        <f t="shared" si="1"/>
        <v>F</v>
      </c>
      <c r="E27" s="41">
        <f t="shared" si="2"/>
        <v>50</v>
      </c>
    </row>
    <row r="28" spans="1:14" ht="15" x14ac:dyDescent="0.25">
      <c r="A28" s="7">
        <v>10102</v>
      </c>
      <c r="B28" s="11">
        <v>10104</v>
      </c>
      <c r="C28" s="34" t="str">
        <f t="shared" si="0"/>
        <v>B</v>
      </c>
      <c r="D28" s="48" t="str">
        <f t="shared" si="1"/>
        <v>C</v>
      </c>
      <c r="E28" s="41">
        <f t="shared" si="2"/>
        <v>-1</v>
      </c>
    </row>
    <row r="29" spans="1:14" ht="15" x14ac:dyDescent="0.25">
      <c r="A29" s="7">
        <v>10106</v>
      </c>
      <c r="B29" s="11">
        <v>10108</v>
      </c>
      <c r="C29" s="34" t="str">
        <f t="shared" si="0"/>
        <v>D</v>
      </c>
      <c r="D29" s="48" t="str">
        <f t="shared" si="1"/>
        <v>E</v>
      </c>
      <c r="E29" s="41">
        <f t="shared" si="2"/>
        <v>70</v>
      </c>
    </row>
    <row r="30" spans="1:14" ht="15" x14ac:dyDescent="0.25">
      <c r="A30" s="7">
        <v>10102</v>
      </c>
      <c r="B30" s="11">
        <v>10106</v>
      </c>
      <c r="C30" s="34" t="str">
        <f t="shared" si="0"/>
        <v>B</v>
      </c>
      <c r="D30" s="48" t="str">
        <f t="shared" si="1"/>
        <v>D</v>
      </c>
      <c r="E30" s="41">
        <f t="shared" si="2"/>
        <v>90</v>
      </c>
    </row>
    <row r="31" spans="1:14" ht="15" x14ac:dyDescent="0.25">
      <c r="A31" s="7">
        <v>10110</v>
      </c>
      <c r="B31" s="11">
        <v>10114</v>
      </c>
      <c r="C31" s="34" t="str">
        <f t="shared" si="0"/>
        <v>F</v>
      </c>
      <c r="D31" s="48" t="str">
        <f t="shared" si="1"/>
        <v>H</v>
      </c>
      <c r="E31" s="41">
        <f t="shared" si="2"/>
        <v>180</v>
      </c>
    </row>
    <row r="32" spans="1:14" ht="15" x14ac:dyDescent="0.25">
      <c r="A32" s="7">
        <v>10104</v>
      </c>
      <c r="B32" s="11">
        <v>10106</v>
      </c>
      <c r="C32" s="34" t="str">
        <f t="shared" si="0"/>
        <v>C</v>
      </c>
      <c r="D32" s="48" t="str">
        <f t="shared" si="1"/>
        <v>D</v>
      </c>
      <c r="E32" s="41">
        <f t="shared" si="2"/>
        <v>60</v>
      </c>
    </row>
    <row r="33" spans="1:5" ht="15" x14ac:dyDescent="0.25">
      <c r="A33" s="7">
        <v>10110</v>
      </c>
      <c r="B33" s="11">
        <v>10112</v>
      </c>
      <c r="C33" s="34" t="str">
        <f t="shared" si="0"/>
        <v>F</v>
      </c>
      <c r="D33" s="48" t="str">
        <f t="shared" si="1"/>
        <v>G</v>
      </c>
      <c r="E33" s="41">
        <f t="shared" si="2"/>
        <v>115</v>
      </c>
    </row>
    <row r="34" spans="1:5" ht="15" x14ac:dyDescent="0.25">
      <c r="A34" s="7">
        <v>10100</v>
      </c>
      <c r="B34" s="11">
        <v>10114</v>
      </c>
      <c r="C34" s="34" t="str">
        <f t="shared" si="0"/>
        <v>A</v>
      </c>
      <c r="D34" s="48" t="str">
        <f t="shared" si="1"/>
        <v>H</v>
      </c>
      <c r="E34" s="41">
        <f t="shared" si="2"/>
        <v>480</v>
      </c>
    </row>
    <row r="35" spans="1:5" ht="15" x14ac:dyDescent="0.25">
      <c r="A35" s="8">
        <v>10112</v>
      </c>
      <c r="B35" s="12">
        <v>10116</v>
      </c>
      <c r="C35" s="34" t="str">
        <f t="shared" si="0"/>
        <v>G</v>
      </c>
      <c r="D35" s="48" t="str">
        <f t="shared" si="1"/>
        <v>I</v>
      </c>
      <c r="E35" s="41">
        <f t="shared" si="2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2023-12-10T03:10:56Z</dcterms:modified>
</cp:coreProperties>
</file>